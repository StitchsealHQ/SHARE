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질문리스트" sheetId="1" state="visible" r:id="rId1"/>
    <sheet xmlns:r="http://schemas.openxmlformats.org/officeDocument/2006/relationships" name="기록" sheetId="2" state="visible" r:id="rId2"/>
    <sheet xmlns:r="http://schemas.openxmlformats.org/officeDocument/2006/relationships" name="집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Malgun Gothic"/>
      <sz val="10"/>
    </font>
    <font>
      <name val="Malgun Gothic"/>
      <b val="1"/>
      <color rgb="005D1BA0"/>
      <sz val="10"/>
    </font>
    <font>
      <name val="Malgun Gothic"/>
      <i val="1"/>
      <color rgb="008A8578"/>
      <sz val="10"/>
    </font>
    <font>
      <name val="Malgun Gothic"/>
      <b val="1"/>
      <color rgb="000000FF"/>
      <sz val="10"/>
    </font>
    <font>
      <name val="Malgun Gothic"/>
      <b val="1"/>
      <sz val="11"/>
    </font>
    <font>
      <name val="Malgun Gothic"/>
      <b val="1"/>
      <color rgb="005D1BA0"/>
      <sz val="11"/>
    </font>
    <font>
      <name val="Malgun Gothic"/>
      <color rgb="008A8578"/>
      <sz val="9"/>
    </font>
  </fonts>
  <fills count="6">
    <fill>
      <patternFill/>
    </fill>
    <fill>
      <patternFill patternType="gray125"/>
    </fill>
    <fill>
      <patternFill patternType="solid">
        <fgColor rgb="005D1BA0"/>
      </patternFill>
    </fill>
    <fill>
      <patternFill patternType="solid">
        <fgColor rgb="00EFE9FB"/>
      </patternFill>
    </fill>
    <fill>
      <patternFill patternType="solid">
        <fgColor rgb="00F5F5F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4CC"/>
      </left>
      <right style="thin">
        <color rgb="00D9D4CC"/>
      </right>
      <top style="thin">
        <color rgb="00D9D4CC"/>
      </top>
      <bottom style="thin">
        <color rgb="00D9D4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3" fontId="4" fillId="4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58" customWidth="1" min="3" max="3"/>
    <col width="38" customWidth="1" min="4" max="4"/>
  </cols>
  <sheetData>
    <row r="1">
      <c r="A1" s="1" t="inlineStr">
        <is>
          <t>섹션</t>
        </is>
      </c>
      <c r="B1" s="1" t="inlineStr">
        <is>
          <t>번호</t>
        </is>
      </c>
      <c r="C1" s="1" t="inlineStr">
        <is>
          <t>질문</t>
        </is>
      </c>
      <c r="D1" s="1" t="inlineStr">
        <is>
          <t>의도 / 주의</t>
        </is>
      </c>
    </row>
    <row r="2">
      <c r="A2" s="2" t="inlineStr">
        <is>
          <t>A. 배경 (3분)</t>
        </is>
      </c>
      <c r="B2" s="2" t="n">
        <v>1</v>
      </c>
      <c r="C2" s="2" t="inlineStr">
        <is>
          <t>브랜드/활동 소개 — 몇 년차, 시즌당 몇 룩?</t>
        </is>
      </c>
      <c r="D2" s="2" t="inlineStr">
        <is>
          <t>라포 형성 + 표본 분류용</t>
        </is>
      </c>
    </row>
    <row r="3">
      <c r="A3" s="2" t="inlineStr">
        <is>
          <t>A. 배경</t>
        </is>
      </c>
      <c r="B3" s="2" t="n">
        <v>2</v>
      </c>
      <c r="C3" s="2" t="inlineStr">
        <is>
          <t>새 디자인은 주로 어디에 처음 공개하나요? (런웨이/인스타/스토어/쇼룸)</t>
        </is>
      </c>
      <c r="D3" s="2" t="inlineStr">
        <is>
          <t>공개 채널 = 카피 노출 경로 파악</t>
        </is>
      </c>
    </row>
    <row r="4">
      <c r="A4" s="3" t="inlineStr">
        <is>
          <t>B. 도용 경험 ★</t>
        </is>
      </c>
      <c r="B4" s="2" t="n">
        <v>3</v>
      </c>
      <c r="C4" s="2" t="inlineStr">
        <is>
          <t>본인·가까운 디자이너가 디자인을 카피당한 경험이 있나요? 구체적으로?</t>
        </is>
      </c>
      <c r="D4" s="2" t="inlineStr">
        <is>
          <t>페인 검증의 핵심 — 사례를 구체적으로</t>
        </is>
      </c>
    </row>
    <row r="5">
      <c r="A5" s="3" t="inlineStr">
        <is>
          <t>B. 도용 경험 ★</t>
        </is>
      </c>
      <c r="B5" s="2" t="n">
        <v>4</v>
      </c>
      <c r="C5" s="2" t="inlineStr">
        <is>
          <t>(경험 있다면) 그때 실제로 무엇을 했나요? 안 했다면 무엇이 가로막았나요?</t>
        </is>
      </c>
      <c r="D5" s="2" t="inlineStr">
        <is>
          <t>행동만 믿는다 — 비용/절차/증거/시간 중 무엇?</t>
        </is>
      </c>
    </row>
    <row r="6">
      <c r="A6" s="3" t="inlineStr">
        <is>
          <t>B. 도용 경험 ★</t>
        </is>
      </c>
      <c r="B6" s="2" t="n">
        <v>5</v>
      </c>
      <c r="C6" s="2" t="inlineStr">
        <is>
          <t>그 일로 잃은 것을 돈으로 환산하면 어느 정도?</t>
        </is>
      </c>
      <c r="D6" s="2" t="inlineStr">
        <is>
          <t>페인의 크기를 숫자로</t>
        </is>
      </c>
    </row>
    <row r="7">
      <c r="A7" s="3" t="inlineStr">
        <is>
          <t>B. 도용 경험 ★</t>
        </is>
      </c>
      <c r="B7" s="2" t="n">
        <v>6</v>
      </c>
      <c r="C7" s="2" t="inlineStr">
        <is>
          <t>(경험 없다면) 카피 걱정으로 행동을 바꾼 적 있나요? (공개를 미룸 등)</t>
        </is>
      </c>
      <c r="D7" s="2" t="inlineStr">
        <is>
          <t>잠재 페인 확인</t>
        </is>
      </c>
    </row>
    <row r="8">
      <c r="A8" s="2" t="inlineStr">
        <is>
          <t>C. 증거 습관</t>
        </is>
      </c>
      <c r="B8" s="2" t="n">
        <v>7</v>
      </c>
      <c r="C8" s="2" t="inlineStr">
        <is>
          <t>창작 과정(도식화·샘플·작업지시서)을 지금 어떻게 기록·보관?</t>
        </is>
      </c>
      <c r="D8" s="2" t="inlineStr">
        <is>
          <t>대체재(현재 습관) 확인</t>
        </is>
      </c>
    </row>
    <row r="9">
      <c r="A9" s="2" t="inlineStr">
        <is>
          <t>C. 증거 습관</t>
        </is>
      </c>
      <c r="B9" s="2" t="n">
        <v>8</v>
      </c>
      <c r="C9" s="2" t="inlineStr">
        <is>
          <t>'내가 먼저 만들었다'를 증명해야 한다면 지금 가진 걸로 가능할까요?</t>
        </is>
      </c>
      <c r="D9" s="2" t="inlineStr">
        <is>
          <t>증거 공백의 자각 여부</t>
        </is>
      </c>
    </row>
    <row r="10">
      <c r="A10" s="2" t="inlineStr">
        <is>
          <t>C. 증거 습관</t>
        </is>
      </c>
      <c r="B10" s="2" t="n">
        <v>9</v>
      </c>
      <c r="C10" s="2" t="inlineStr">
        <is>
          <t>디자인 출원 해본 적 있나요? 비용·과정은? 안 했다면 왜?</t>
        </is>
      </c>
      <c r="D10" s="2" t="inlineStr">
        <is>
          <t>출원 연계 수요의 근거</t>
        </is>
      </c>
    </row>
    <row r="11">
      <c r="A11" s="2" t="inlineStr">
        <is>
          <t>D. 데모 반응</t>
        </is>
      </c>
      <c r="B11" s="2" t="n">
        <v>10</v>
      </c>
      <c r="C11" s="2" t="inlineStr">
        <is>
          <t>[데모 시연 후] 첫 인상은? 어느 부분이 가장 와닿나요? (증거/출원/거래)</t>
        </is>
      </c>
      <c r="D11" s="2" t="inlineStr">
        <is>
          <t>여기서 처음 서비스 공개 — 그 전엔 설명 금지</t>
        </is>
      </c>
    </row>
    <row r="12">
      <c r="A12" s="2" t="inlineStr">
        <is>
          <t>D. 데모 반응</t>
        </is>
      </c>
      <c r="B12" s="2" t="n">
        <v>11</v>
      </c>
      <c r="C12" s="2" t="inlineStr">
        <is>
          <t>미덥지 않거나 걸리는 부분은? (블록체인? 법적 효력? 파일 보관?)</t>
        </is>
      </c>
      <c r="D12" s="2" t="inlineStr">
        <is>
          <t>우려 = 온보딩 장벽 목록</t>
        </is>
      </c>
    </row>
    <row r="13">
      <c r="A13" s="2" t="inlineStr">
        <is>
          <t>D. 데모 반응</t>
        </is>
      </c>
      <c r="B13" s="2" t="n">
        <v>12</v>
      </c>
      <c r="C13" s="2" t="inlineStr">
        <is>
          <t>다음 시즌이라면 몇 룩을, 어느 시점에 등록할 것 같나요?</t>
        </is>
      </c>
      <c r="D13" s="2" t="inlineStr">
        <is>
          <t>사용 시나리오 구체화</t>
        </is>
      </c>
    </row>
    <row r="14">
      <c r="A14" s="3" t="inlineStr">
        <is>
          <t>E. 지불 의향 ★★</t>
        </is>
      </c>
      <c r="B14" s="2" t="n">
        <v>13</v>
      </c>
      <c r="C14" s="2" t="inlineStr">
        <is>
          <t>돈을 낸다면 어떤 방식이 자연스러운가요? (시즌 패키지/건당/월 구독/출원 시)</t>
        </is>
      </c>
      <c r="D14" s="2" t="inlineStr">
        <is>
          <t>과금 모델 선호</t>
        </is>
      </c>
    </row>
    <row r="15">
      <c r="A15" s="3" t="inlineStr">
        <is>
          <t>E. 지불 의향 ★★</t>
        </is>
      </c>
      <c r="B15" s="2" t="n">
        <v>14</v>
      </c>
      <c r="C15" s="2" t="inlineStr">
        <is>
          <t>가격 4문항: 너무 비쌈 / 비싸지만 고민 / 합리적 / 너무 싸서 의심 — 각각 얼마?</t>
        </is>
      </c>
      <c r="D15" s="2" t="inlineStr">
        <is>
          <t>구체적 숫자 필수 — 말 안 하면 재질문</t>
        </is>
      </c>
    </row>
    <row r="16">
      <c r="A16" s="3" t="inlineStr">
        <is>
          <t>E. 지불 의향 ★★</t>
        </is>
      </c>
      <c r="B16" s="2" t="n">
        <v>15</v>
      </c>
      <c r="C16" s="2" t="inlineStr">
        <is>
          <t>[행동 검증] 지금 사전등록하면 첫 시즌 무료 — 등록해 두시겠어요?</t>
        </is>
      </c>
      <c r="D16" s="2" t="inlineStr">
        <is>
          <t>수락/거절 자체가 데이터. 거절 시: 무엇이 채워지면?</t>
        </is>
      </c>
    </row>
    <row r="17">
      <c r="A17" s="2" t="inlineStr">
        <is>
          <t>F. 거래 연결</t>
        </is>
      </c>
      <c r="B17" s="2" t="n">
        <v>16</v>
      </c>
      <c r="C17" s="2" t="inlineStr">
        <is>
          <t>등록 디자인이 (동의 시) 바이어 카탈로그에 노출된다면 — 매력? 부담? 왜?</t>
        </is>
      </c>
      <c r="D17" s="2" t="inlineStr">
        <is>
          <t>양면 플랫폼 수요 확인</t>
        </is>
      </c>
    </row>
    <row r="18">
      <c r="A18" s="2" t="inlineStr">
        <is>
          <t>F. 거래 연결</t>
        </is>
      </c>
      <c r="B18" s="2" t="n">
        <v>17</v>
      </c>
      <c r="C18" s="2" t="inlineStr">
        <is>
          <t>바이어 연결이 성사되면 수수료 몇 %까지 수용 가능?</t>
        </is>
      </c>
      <c r="D18" s="2" t="inlineStr">
        <is>
          <t>거래 수익모델 검증</t>
        </is>
      </c>
    </row>
    <row r="19">
      <c r="A19" s="2" t="inlineStr">
        <is>
          <t>클로징</t>
        </is>
      </c>
      <c r="B19" s="2" t="n">
        <v>18</v>
      </c>
      <c r="C19" s="2" t="inlineStr">
        <is>
          <t>이 얘기를 들려줄 만한 디자이너 1~2분 소개해주실 수 있나요?</t>
        </is>
      </c>
      <c r="D19" s="2" t="inlineStr">
        <is>
          <t>스노볼 샘플링</t>
        </is>
      </c>
    </row>
    <row r="20">
      <c r="A20" s="2" t="inlineStr">
        <is>
          <t>클로징</t>
        </is>
      </c>
      <c r="B20" s="2" t="n">
        <v>19</v>
      </c>
      <c r="C20" s="2" t="inlineStr">
        <is>
          <t>오픈 소식 알려드릴게요 — (대기자 명단 등록)</t>
        </is>
      </c>
      <c r="D20" s="2" t="inlineStr">
        <is>
          <t>waitlist 링크 전달</t>
        </is>
      </c>
    </row>
    <row r="21">
      <c r="A21" s="2" t="inlineStr">
        <is>
          <t>클로징</t>
        </is>
      </c>
      <c r="B21" s="2" t="n">
        <v>20</v>
      </c>
      <c r="C21" s="2" t="inlineStr">
        <is>
          <t>감사 인사 + 초기 사용자 혜택 안내</t>
        </is>
      </c>
      <c r="D21" s="2" t="inlineStr"/>
    </row>
    <row r="22">
      <c r="A22" s="2" t="inlineStr">
        <is>
          <t>S. 학생 (졸업예정)</t>
        </is>
      </c>
      <c r="B22" s="2" t="inlineStr">
        <is>
          <t>S1</t>
        </is>
      </c>
      <c r="C22" s="2" t="inlineStr">
        <is>
          <t>졸업작품·포트폴리오를 어디에 처음 공개하나요? (졸업쇼/인스타/비핸스/공모전)</t>
        </is>
      </c>
      <c r="D22" s="2" t="inlineStr">
        <is>
          <t>첫 노출 채널 = 봉인 시점 설계 — "졸업쇼 전에 등록" 피치 검증</t>
        </is>
      </c>
    </row>
    <row r="23">
      <c r="A23" s="2" t="inlineStr">
        <is>
          <t>S. 학생 (졸업예정) ★</t>
        </is>
      </c>
      <c r="B23" s="2" t="inlineStr">
        <is>
          <t>S2</t>
        </is>
      </c>
      <c r="C23" s="2" t="inlineStr">
        <is>
          <t>졸업작품이나 과제가 카피·도용될까 걱정한 적 있나요? 선배·동기가 겪은 얘기를 들은 적은?</t>
        </is>
      </c>
      <c r="D23" s="2" t="inlineStr">
        <is>
          <t>직접 경험 대신 간접 사례·불안을 잰다 — 소문의 구체성이 페인의 근거</t>
        </is>
      </c>
    </row>
    <row r="24">
      <c r="A24" s="2" t="inlineStr">
        <is>
          <t>S. 학생 (졸업예정) ★</t>
        </is>
      </c>
      <c r="B24" s="2" t="inlineStr">
        <is>
          <t>S3</t>
        </is>
      </c>
      <c r="C24" s="2" t="inlineStr">
        <is>
          <t>공모전·기업 과제 제출 때 아이디어 유출 걱정으로 제출을 망설이거나 뺀 디자인이 있나요?</t>
        </is>
      </c>
      <c r="D24" s="2" t="inlineStr">
        <is>
          <t>행동 변화 여부 — 망설임이 있어야 진짜 페인</t>
        </is>
      </c>
    </row>
    <row r="25">
      <c r="A25" s="2" t="inlineStr">
        <is>
          <t>S. 학생 (졸업예정)</t>
        </is>
      </c>
      <c r="B25" s="2" t="inlineStr">
        <is>
          <t>S4</t>
        </is>
      </c>
      <c r="C25" s="2" t="inlineStr">
        <is>
          <t>취업 포트폴리오를 회사에 낼 때 내 디자인이라는 걸 어떻게 증명할 수 있나요?</t>
        </is>
      </c>
      <c r="D25" s="2" t="inlineStr">
        <is>
          <t>증거 공백 자각 유도 — 반응 관찰</t>
        </is>
      </c>
    </row>
    <row r="26">
      <c r="A26" s="2" t="inlineStr">
        <is>
          <t>S. 학생 (졸업예정) ★★</t>
        </is>
      </c>
      <c r="B26" s="2" t="inlineStr">
        <is>
          <t>S5</t>
        </is>
      </c>
      <c r="C26" s="2" t="inlineStr">
        <is>
          <t>무료라면 졸업작품을 공개 전에 등록해두겠어요? 학교가 졸업쇼 전에 일괄 등록해준다면?</t>
        </is>
      </c>
      <c r="D26" s="2" t="inlineStr">
        <is>
          <t>사용 의향 + 학교 제휴(B2B2C) 채널 검증 — 학생 판정의 핵심</t>
        </is>
      </c>
    </row>
    <row r="27">
      <c r="A27" s="2" t="inlineStr">
        <is>
          <t>S. 학생 (졸업예정)</t>
        </is>
      </c>
      <c r="B27" s="2" t="inlineStr">
        <is>
          <t>S6</t>
        </is>
      </c>
      <c r="C27" s="2" t="inlineStr">
        <is>
          <t>학생 가격이라면 얼마까지 낼 수 있나요? 졸업 후 브랜드를 한다면 계속 쓸 것 같나요?</t>
        </is>
      </c>
      <c r="D27" s="2" t="inlineStr">
        <is>
          <t>지불 의향은 낮게 잡고 졸업 후 전환 의향을 본다</t>
        </is>
      </c>
    </row>
    <row r="28">
      <c r="A28" s="2" t="inlineStr">
        <is>
          <t>L. 런칭 준비</t>
        </is>
      </c>
      <c r="B28" s="2" t="inlineStr">
        <is>
          <t>L1</t>
        </is>
      </c>
      <c r="C28" s="2" t="inlineStr">
        <is>
          <t>지금 어느 단계인가요? (기획/샘플/생산/판매 직전) 첫 공개는 어디서 할 계획인가요?</t>
        </is>
      </c>
      <c r="D28" s="2" t="inlineStr">
        <is>
          <t>표본 분류 + 봉인 타이밍 설계 (크라우드펀딩/인스타/팝업/도매)</t>
        </is>
      </c>
    </row>
    <row r="29">
      <c r="A29" s="2" t="inlineStr">
        <is>
          <t>L. 런칭 준비 ★</t>
        </is>
      </c>
      <c r="B29" s="2" t="inlineStr">
        <is>
          <t>L2</t>
        </is>
      </c>
      <c r="C29" s="2" t="inlineStr">
        <is>
          <t>샘플실·공장에 도식화·작업지시서를 넘길 때 유출 걱정을 해봤나요? 실제로 들은 사례는?</t>
        </is>
      </c>
      <c r="D29" s="2" t="inlineStr">
        <is>
          <t>생산 단계 유출 — 런칭 준비자 고유 페인</t>
        </is>
      </c>
    </row>
    <row r="30">
      <c r="A30" s="2" t="inlineStr">
        <is>
          <t>L. 런칭 준비 ★</t>
        </is>
      </c>
      <c r="B30" s="2" t="inlineStr">
        <is>
          <t>L3</t>
        </is>
      </c>
      <c r="C30" s="2" t="inlineStr">
        <is>
          <t>크라우드펀딩·SNS 선공개로 판매 전에 카피가 먼저 나올 수 있는데, 이걸 계산에 넣고 있나요?</t>
        </is>
      </c>
      <c r="D30" s="2" t="inlineStr">
        <is>
          <t>공개=마케팅 vs 공개=노출 딜레마의 자각 여부</t>
        </is>
      </c>
    </row>
    <row r="31">
      <c r="A31" s="2" t="inlineStr">
        <is>
          <t>L. 런칭 준비</t>
        </is>
      </c>
      <c r="B31" s="2" t="inlineStr">
        <is>
          <t>L4</t>
        </is>
      </c>
      <c r="C31" s="2" t="inlineStr">
        <is>
          <t>런칭 준비 예산에서 디자인 보호에 쓸 수 있는 돈은 얼마인가요? 변리사·출원은 알아봤나요?</t>
        </is>
      </c>
      <c r="D31" s="2" t="inlineStr">
        <is>
          <t>예산 내 우선순위 — 절대액보다 배분 의지</t>
        </is>
      </c>
    </row>
    <row r="32">
      <c r="A32" s="2" t="inlineStr">
        <is>
          <t>L. 런칭 준비</t>
        </is>
      </c>
      <c r="B32" s="2" t="inlineStr">
        <is>
          <t>L5</t>
        </is>
      </c>
      <c r="C32" s="2" t="inlineStr">
        <is>
          <t>바이어·편집숍 미팅에서 라인시트를 보여줄 때 "누가 언제 봤는지 기록이 남는다"면 더 편해질까요?</t>
        </is>
      </c>
      <c r="D32" s="2" t="inlineStr">
        <is>
          <t>열람 로그(증거 체인) 가치의 사전 검증</t>
        </is>
      </c>
    </row>
    <row r="33">
      <c r="A33" s="2" t="inlineStr">
        <is>
          <t>L. 런칭 준비 ★★</t>
        </is>
      </c>
      <c r="B33" s="2" t="inlineStr">
        <is>
          <t>L6</t>
        </is>
      </c>
      <c r="C33" s="2" t="inlineStr">
        <is>
          <t>런칭 전 컬렉션 전체를 봉인하는 데 시즌당 얼마면 자연스럽나요? — 가격 4문항(E14 포맷) 동일 적용</t>
        </is>
      </c>
      <c r="D33" s="2" t="inlineStr">
        <is>
          <t>E14와 동일 포맷 유지 — 세그먼트 간 가격 비교 가능</t>
        </is>
      </c>
    </row>
    <row r="34">
      <c r="A34" s="2" t="inlineStr">
        <is>
          <t>G. 공통 보완</t>
        </is>
      </c>
      <c r="B34" s="2" t="inlineStr">
        <is>
          <t>G1</t>
        </is>
      </c>
      <c r="C34" s="2" t="inlineStr">
        <is>
          <t>주변에 "이건 꼭 보호하고 싶다"고 할 만한 디자이너·친구가 몇 명쯤 있나요?</t>
        </is>
      </c>
      <c r="D34" s="2" t="inlineStr">
        <is>
          <t>스노볼 샘플링 + 세그먼트별 시장 밀도 추정</t>
        </is>
      </c>
    </row>
    <row r="35">
      <c r="A35" s="2" t="inlineStr">
        <is>
          <t>G. 공통 보완</t>
        </is>
      </c>
      <c r="B35" s="2" t="inlineStr">
        <is>
          <t>G2</t>
        </is>
      </c>
      <c r="C35" s="2" t="inlineStr">
        <is>
          <t>오늘 들은 것 중 "나한테는 필요 없다" 싶은 기능은 무엇인가요?</t>
        </is>
      </c>
      <c r="D35" s="2" t="inlineStr">
        <is>
          <t>과잉 기능 제거 — 부정 신호도 수집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11" customWidth="1" min="4" max="4"/>
    <col width="24" customWidth="1" min="5" max="5"/>
    <col width="24" customWidth="1" min="6" max="6"/>
    <col width="22" customWidth="1" min="7" max="7"/>
    <col width="12" customWidth="1" min="8" max="8"/>
    <col width="18" customWidth="1" min="9" max="9"/>
    <col width="13" customWidth="1" min="10" max="10"/>
    <col width="11" customWidth="1" min="11" max="11"/>
    <col width="11" customWidth="1" min="12" max="12"/>
    <col width="11" customWidth="1" min="13" max="13"/>
    <col width="11" customWidth="1" min="14" max="14"/>
    <col width="9" customWidth="1" min="15" max="15"/>
    <col width="16" customWidth="1" min="16" max="16"/>
    <col width="18" customWidth="1" min="17" max="17"/>
    <col width="11" customWidth="1" min="18" max="18"/>
    <col width="9" customWidth="1" min="19" max="19"/>
    <col width="26" customWidth="1" min="20" max="20"/>
    <col width="11" customWidth="1" min="21" max="21"/>
  </cols>
  <sheetData>
    <row r="1">
      <c r="A1" s="1" t="inlineStr">
        <is>
          <t>번호</t>
        </is>
      </c>
      <c r="B1" s="1" t="inlineStr">
        <is>
          <t>일시</t>
        </is>
      </c>
      <c r="C1" s="1" t="inlineStr">
        <is>
          <t>이름</t>
        </is>
      </c>
      <c r="D1" s="1" t="inlineStr">
        <is>
          <t>대상 구분</t>
        </is>
      </c>
      <c r="E1" s="1" t="inlineStr">
        <is>
          <t>연차·분야</t>
        </is>
      </c>
      <c r="F1" s="1" t="inlineStr">
        <is>
          <t>도용 경험 (B3~6)</t>
        </is>
      </c>
      <c r="G1" s="1" t="inlineStr">
        <is>
          <t>당시 행동/미대응 이유 (B4)</t>
        </is>
      </c>
      <c r="H1" s="1" t="inlineStr">
        <is>
          <t>증거 습관 (C7~9)</t>
        </is>
      </c>
      <c r="I1" s="1" t="inlineStr">
        <is>
          <t>와닿은 단계 (D10)</t>
        </is>
      </c>
      <c r="J1" s="1" t="inlineStr">
        <is>
          <t>우려 (D11)</t>
        </is>
      </c>
      <c r="K1" s="1" t="inlineStr">
        <is>
          <t>지불 방식 (E13)</t>
        </is>
      </c>
      <c r="L1" s="1" t="inlineStr">
        <is>
          <t>가격: 너무 비쌈</t>
        </is>
      </c>
      <c r="M1" s="1" t="inlineStr">
        <is>
          <t>가격: 고민</t>
        </is>
      </c>
      <c r="N1" s="1" t="inlineStr">
        <is>
          <t>가격: 합리적</t>
        </is>
      </c>
      <c r="O1" s="1" t="inlineStr">
        <is>
          <t>가격: 의심</t>
        </is>
      </c>
      <c r="P1" s="1" t="inlineStr">
        <is>
          <t>사전등록 (E15)</t>
        </is>
      </c>
      <c r="Q1" s="1" t="inlineStr">
        <is>
          <t>거절 이유</t>
        </is>
      </c>
      <c r="R1" s="1" t="inlineStr">
        <is>
          <t>카탈로그 반응 (F16)</t>
        </is>
      </c>
      <c r="S1" s="1" t="inlineStr">
        <is>
          <t>수수료 수용 % (F17)</t>
        </is>
      </c>
      <c r="T1" s="1" t="inlineStr">
        <is>
          <t>소개 약속 (명)</t>
        </is>
      </c>
      <c r="U1" s="1" t="inlineStr">
        <is>
          <t>한 줄 인사이트</t>
        </is>
      </c>
      <c r="V1" s="1" t="inlineStr">
        <is>
          <t>판정</t>
        </is>
      </c>
    </row>
    <row r="2">
      <c r="A2" s="4" t="n">
        <v>1</v>
      </c>
      <c r="B2" s="4" t="inlineStr">
        <is>
          <t>2026-07-20</t>
        </is>
      </c>
      <c r="C2" s="4" t="inlineStr">
        <is>
          <t>(예시) 김디자이너</t>
        </is>
      </c>
      <c r="D2" s="4" t="inlineStr">
        <is>
          <t>현직</t>
        </is>
      </c>
      <c r="E2" s="4" t="inlineStr">
        <is>
          <t>3년차 · 여성복</t>
        </is>
      </c>
      <c r="F2" s="4" t="inlineStr">
        <is>
          <t>인스타 공개 2주 뒤 카피 발견</t>
        </is>
      </c>
      <c r="G2" s="4" t="inlineStr">
        <is>
          <t>내용증명 알아보다 비용 부담으로 포기</t>
        </is>
      </c>
      <c r="H2" s="4" t="inlineStr">
        <is>
          <t>아이패드 원본 + 카톡 전송 기록뿐</t>
        </is>
      </c>
      <c r="I2" s="4" t="inlineStr">
        <is>
          <t>즉시 증거</t>
        </is>
      </c>
      <c r="J2" s="4" t="inlineStr">
        <is>
          <t>법적 효력이 궁금함</t>
        </is>
      </c>
      <c r="K2" s="4" t="inlineStr">
        <is>
          <t>시즌 패키지</t>
        </is>
      </c>
      <c r="L2" s="5" t="n">
        <v>150000</v>
      </c>
      <c r="M2" s="5" t="n">
        <v>80000</v>
      </c>
      <c r="N2" s="5" t="n">
        <v>50000</v>
      </c>
      <c r="O2" s="5" t="n">
        <v>10000</v>
      </c>
      <c r="P2" s="4" t="inlineStr">
        <is>
          <t>수락</t>
        </is>
      </c>
      <c r="Q2" s="4" t="inlineStr"/>
      <c r="R2" s="4" t="inlineStr">
        <is>
          <t>매력 — 단 승인 바이어만</t>
        </is>
      </c>
      <c r="S2" s="4" t="n">
        <v>10</v>
      </c>
      <c r="T2" s="4" t="n">
        <v>2</v>
      </c>
      <c r="U2" s="4" t="inlineStr">
        <is>
          <t>페인 강함, 가격은 5만원대</t>
        </is>
      </c>
      <c r="V2" s="4" t="inlineStr">
        <is>
          <t>강한 신호</t>
        </is>
      </c>
    </row>
    <row r="3">
      <c r="A3" s="2" t="n">
        <v>1</v>
      </c>
      <c r="B3" s="2" t="n"/>
      <c r="C3" s="2" t="n"/>
      <c r="E3" s="2" t="n"/>
      <c r="F3" s="2" t="n"/>
      <c r="G3" s="2" t="n"/>
      <c r="H3" s="2" t="n"/>
      <c r="I3" s="2" t="n"/>
      <c r="J3" s="2" t="n"/>
      <c r="K3" s="2" t="n"/>
      <c r="L3" s="6" t="n"/>
      <c r="M3" s="6" t="n"/>
      <c r="N3" s="6" t="n"/>
      <c r="O3" s="6" t="n"/>
      <c r="P3" s="2" t="n"/>
      <c r="Q3" s="2" t="n"/>
      <c r="R3" s="2" t="n"/>
      <c r="S3" s="2" t="n"/>
      <c r="T3" s="2" t="n"/>
      <c r="U3" s="2" t="n"/>
      <c r="V3" s="2" t="n"/>
    </row>
    <row r="4">
      <c r="A4" s="2" t="n">
        <v>2</v>
      </c>
      <c r="B4" s="2" t="n"/>
      <c r="C4" s="2" t="n"/>
      <c r="E4" s="2" t="n"/>
      <c r="F4" s="2" t="n"/>
      <c r="G4" s="2" t="n"/>
      <c r="H4" s="2" t="n"/>
      <c r="I4" s="2" t="n"/>
      <c r="J4" s="2" t="n"/>
      <c r="K4" s="2" t="n"/>
      <c r="L4" s="6" t="n"/>
      <c r="M4" s="6" t="n"/>
      <c r="N4" s="6" t="n"/>
      <c r="O4" s="6" t="n"/>
      <c r="P4" s="2" t="n"/>
      <c r="Q4" s="2" t="n"/>
      <c r="R4" s="2" t="n"/>
      <c r="S4" s="2" t="n"/>
      <c r="T4" s="2" t="n"/>
      <c r="U4" s="2" t="n"/>
      <c r="V4" s="2" t="n"/>
    </row>
    <row r="5">
      <c r="A5" s="2" t="n">
        <v>3</v>
      </c>
      <c r="B5" s="2" t="n"/>
      <c r="C5" s="2" t="n"/>
      <c r="E5" s="2" t="n"/>
      <c r="F5" s="2" t="n"/>
      <c r="G5" s="2" t="n"/>
      <c r="H5" s="2" t="n"/>
      <c r="I5" s="2" t="n"/>
      <c r="J5" s="2" t="n"/>
      <c r="K5" s="2" t="n"/>
      <c r="L5" s="6" t="n"/>
      <c r="M5" s="6" t="n"/>
      <c r="N5" s="6" t="n"/>
      <c r="O5" s="6" t="n"/>
      <c r="P5" s="2" t="n"/>
      <c r="Q5" s="2" t="n"/>
      <c r="R5" s="2" t="n"/>
      <c r="S5" s="2" t="n"/>
      <c r="T5" s="2" t="n"/>
      <c r="U5" s="2" t="n"/>
      <c r="V5" s="2" t="n"/>
    </row>
    <row r="6">
      <c r="A6" s="2" t="n">
        <v>4</v>
      </c>
      <c r="B6" s="2" t="n"/>
      <c r="C6" s="2" t="n"/>
      <c r="E6" s="2" t="n"/>
      <c r="F6" s="2" t="n"/>
      <c r="G6" s="2" t="n"/>
      <c r="H6" s="2" t="n"/>
      <c r="I6" s="2" t="n"/>
      <c r="J6" s="2" t="n"/>
      <c r="K6" s="2" t="n"/>
      <c r="L6" s="6" t="n"/>
      <c r="M6" s="6" t="n"/>
      <c r="N6" s="6" t="n"/>
      <c r="O6" s="6" t="n"/>
      <c r="P6" s="2" t="n"/>
      <c r="Q6" s="2" t="n"/>
      <c r="R6" s="2" t="n"/>
      <c r="S6" s="2" t="n"/>
      <c r="T6" s="2" t="n"/>
      <c r="U6" s="2" t="n"/>
      <c r="V6" s="2" t="n"/>
    </row>
    <row r="7">
      <c r="A7" s="2" t="n">
        <v>5</v>
      </c>
      <c r="B7" s="2" t="n"/>
      <c r="C7" s="2" t="n"/>
      <c r="E7" s="2" t="n"/>
      <c r="F7" s="2" t="n"/>
      <c r="G7" s="2" t="n"/>
      <c r="H7" s="2" t="n"/>
      <c r="I7" s="2" t="n"/>
      <c r="J7" s="2" t="n"/>
      <c r="K7" s="2" t="n"/>
      <c r="L7" s="6" t="n"/>
      <c r="M7" s="6" t="n"/>
      <c r="N7" s="6" t="n"/>
      <c r="O7" s="6" t="n"/>
      <c r="P7" s="2" t="n"/>
      <c r="Q7" s="2" t="n"/>
      <c r="R7" s="2" t="n"/>
      <c r="S7" s="2" t="n"/>
      <c r="T7" s="2" t="n"/>
      <c r="U7" s="2" t="n"/>
      <c r="V7" s="2" t="n"/>
    </row>
    <row r="8">
      <c r="A8" s="2" t="n">
        <v>6</v>
      </c>
      <c r="B8" s="2" t="n"/>
      <c r="C8" s="2" t="n"/>
      <c r="E8" s="2" t="n"/>
      <c r="F8" s="2" t="n"/>
      <c r="G8" s="2" t="n"/>
      <c r="H8" s="2" t="n"/>
      <c r="I8" s="2" t="n"/>
      <c r="J8" s="2" t="n"/>
      <c r="K8" s="2" t="n"/>
      <c r="L8" s="6" t="n"/>
      <c r="M8" s="6" t="n"/>
      <c r="N8" s="6" t="n"/>
      <c r="O8" s="6" t="n"/>
      <c r="P8" s="2" t="n"/>
      <c r="Q8" s="2" t="n"/>
      <c r="R8" s="2" t="n"/>
      <c r="S8" s="2" t="n"/>
      <c r="T8" s="2" t="n"/>
      <c r="U8" s="2" t="n"/>
      <c r="V8" s="2" t="n"/>
    </row>
    <row r="9">
      <c r="A9" s="2" t="n">
        <v>7</v>
      </c>
      <c r="B9" s="2" t="n"/>
      <c r="C9" s="2" t="n"/>
      <c r="E9" s="2" t="n"/>
      <c r="F9" s="2" t="n"/>
      <c r="G9" s="2" t="n"/>
      <c r="H9" s="2" t="n"/>
      <c r="I9" s="2" t="n"/>
      <c r="J9" s="2" t="n"/>
      <c r="K9" s="2" t="n"/>
      <c r="L9" s="6" t="n"/>
      <c r="M9" s="6" t="n"/>
      <c r="N9" s="6" t="n"/>
      <c r="O9" s="6" t="n"/>
      <c r="P9" s="2" t="n"/>
      <c r="Q9" s="2" t="n"/>
      <c r="R9" s="2" t="n"/>
      <c r="S9" s="2" t="n"/>
      <c r="T9" s="2" t="n"/>
      <c r="U9" s="2" t="n"/>
      <c r="V9" s="2" t="n"/>
    </row>
    <row r="10">
      <c r="A10" s="2" t="n">
        <v>8</v>
      </c>
      <c r="B10" s="2" t="n"/>
      <c r="C10" s="2" t="n"/>
      <c r="E10" s="2" t="n"/>
      <c r="F10" s="2" t="n"/>
      <c r="G10" s="2" t="n"/>
      <c r="H10" s="2" t="n"/>
      <c r="I10" s="2" t="n"/>
      <c r="J10" s="2" t="n"/>
      <c r="K10" s="2" t="n"/>
      <c r="L10" s="6" t="n"/>
      <c r="M10" s="6" t="n"/>
      <c r="N10" s="6" t="n"/>
      <c r="O10" s="6" t="n"/>
      <c r="P10" s="2" t="n"/>
      <c r="Q10" s="2" t="n"/>
      <c r="R10" s="2" t="n"/>
      <c r="S10" s="2" t="n"/>
      <c r="T10" s="2" t="n"/>
      <c r="U10" s="2" t="n"/>
      <c r="V10" s="2" t="n"/>
    </row>
    <row r="11">
      <c r="A11" s="2" t="n">
        <v>9</v>
      </c>
      <c r="B11" s="2" t="n"/>
      <c r="C11" s="2" t="n"/>
      <c r="E11" s="2" t="n"/>
      <c r="F11" s="2" t="n"/>
      <c r="G11" s="2" t="n"/>
      <c r="H11" s="2" t="n"/>
      <c r="I11" s="2" t="n"/>
      <c r="J11" s="2" t="n"/>
      <c r="K11" s="2" t="n"/>
      <c r="L11" s="6" t="n"/>
      <c r="M11" s="6" t="n"/>
      <c r="N11" s="6" t="n"/>
      <c r="O11" s="6" t="n"/>
      <c r="P11" s="2" t="n"/>
      <c r="Q11" s="2" t="n"/>
      <c r="R11" s="2" t="n"/>
      <c r="S11" s="2" t="n"/>
      <c r="T11" s="2" t="n"/>
      <c r="U11" s="2" t="n"/>
      <c r="V11" s="2" t="n"/>
    </row>
    <row r="12">
      <c r="A12" s="2" t="n">
        <v>10</v>
      </c>
      <c r="B12" s="2" t="n"/>
      <c r="C12" s="2" t="n"/>
      <c r="E12" s="2" t="n"/>
      <c r="F12" s="2" t="n"/>
      <c r="G12" s="2" t="n"/>
      <c r="H12" s="2" t="n"/>
      <c r="I12" s="2" t="n"/>
      <c r="J12" s="2" t="n"/>
      <c r="K12" s="2" t="n"/>
      <c r="L12" s="6" t="n"/>
      <c r="M12" s="6" t="n"/>
      <c r="N12" s="6" t="n"/>
      <c r="O12" s="6" t="n"/>
      <c r="P12" s="2" t="n"/>
      <c r="Q12" s="2" t="n"/>
      <c r="R12" s="2" t="n"/>
      <c r="S12" s="2" t="n"/>
      <c r="T12" s="2" t="n"/>
      <c r="U12" s="2" t="n"/>
      <c r="V12" s="2" t="n"/>
    </row>
  </sheetData>
  <dataValidations count="3">
    <dataValidation sqref="P3:P12" showDropDown="0" showInputMessage="0" showErrorMessage="0" allowBlank="1" type="list">
      <formula1>"수락,거절"</formula1>
    </dataValidation>
    <dataValidation sqref="V3:V12" showDropDown="0" showInputMessage="0" showErrorMessage="0" allowBlank="1" type="list">
      <formula1>"강한 신호,약한 신호,판정 보류"</formula1>
    </dataValidation>
    <dataValidation sqref="D3:D12" showDropDown="0" showInputMessage="0" showErrorMessage="0" allowBlank="1" type="list">
      <formula1>"현직,학생,런칭준비"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46" customWidth="1" min="3" max="3"/>
  </cols>
  <sheetData>
    <row r="1">
      <c r="A1" s="1" t="inlineStr">
        <is>
          <t>항목</t>
        </is>
      </c>
      <c r="B1" s="1" t="inlineStr">
        <is>
          <t>값</t>
        </is>
      </c>
      <c r="C1" s="1" t="inlineStr">
        <is>
          <t>비고</t>
        </is>
      </c>
    </row>
    <row r="2">
      <c r="A2" s="2" t="inlineStr">
        <is>
          <t>인터뷰 완료 수</t>
        </is>
      </c>
      <c r="B2" s="2">
        <f>COUNTA('기록'!C3:C12)</f>
        <v/>
      </c>
      <c r="C2" s="2" t="inlineStr">
        <is>
          <t>예시 행(2행) 제외, 3행부터 집계</t>
        </is>
      </c>
    </row>
    <row r="3">
      <c r="A3" s="2" t="inlineStr">
        <is>
          <t>사전등록 수락 (E15)</t>
        </is>
      </c>
      <c r="B3" s="2">
        <f>COUNTIF('기록'!P3:P12,"수락")</f>
        <v/>
      </c>
      <c r="C3" s="2" t="inlineStr">
        <is>
          <t>행동 검증 — 핵심 지표</t>
        </is>
      </c>
    </row>
    <row r="4">
      <c r="A4" s="2" t="inlineStr">
        <is>
          <t>강한 신호 수</t>
        </is>
      </c>
      <c r="B4" s="2">
        <f>COUNTIF('기록'!V3:V12,"강한 신호")</f>
        <v/>
      </c>
      <c r="C4" s="2" t="inlineStr">
        <is>
          <t>합리적 가격을 숫자로 말함 + E15 수락</t>
        </is>
      </c>
    </row>
    <row r="5">
      <c r="A5" s="2" t="inlineStr">
        <is>
          <t>강한 신호 비율</t>
        </is>
      </c>
      <c r="B5" s="7">
        <f>IF(B2=0,0,B4/B2)</f>
        <v/>
      </c>
      <c r="C5" s="2" t="inlineStr">
        <is>
          <t>0 나눗셈 방지</t>
        </is>
      </c>
    </row>
    <row r="6">
      <c r="A6" s="2" t="inlineStr">
        <is>
          <t>대기자 등록 수 (수기 입력)</t>
        </is>
      </c>
      <c r="B6" s="8" t="n">
        <v>0</v>
      </c>
      <c r="C6" s="2" t="inlineStr">
        <is>
          <t>FormSubmit 수신 메일 수를 직접 입력 — 출처: 사용자 집계</t>
        </is>
      </c>
    </row>
    <row r="7">
      <c r="A7" s="2" t="inlineStr"/>
      <c r="B7" s="2" t="inlineStr"/>
      <c r="C7" s="2" t="inlineStr"/>
    </row>
    <row r="8">
      <c r="A8" s="9" t="inlineStr">
        <is>
          <t>GO 판정</t>
        </is>
      </c>
      <c r="B8" s="10">
        <f>IF(AND(B2&gt;=5,B4*2&gt;=B2,B6&gt;=20),"GO",IF(AND(B2&gt;=5,B4*2&lt;B2),"PIVOT 검토 (가격·과금 재설계)","데이터 더 필요"))</f>
        <v/>
      </c>
      <c r="C8" s="2" t="inlineStr">
        <is>
          <t>기준: 인터뷰≥5 &amp; 강한신호 과반 &amp; 대기자≥20 (STARTUP-GAPS §1)</t>
        </is>
      </c>
    </row>
    <row r="10">
      <c r="A10" s="11" t="inlineStr">
        <is>
          <t>사용법: '기록' 시트 3행부터 인터뷰마다 한 행씩 입력 (2행은 회색 예시 — 형식 참고용). 노란 칸(B6)만 직접 입력, 나머지 집계는 자동 계산. 질문 상세와 진행 원칙은 '질문리스트' 시트 및 docs/interview-guide.md 참조.</t>
        </is>
      </c>
    </row>
    <row r="12">
      <c r="A12" s="9" t="inlineStr">
        <is>
          <t>세그먼트별 집계</t>
        </is>
      </c>
      <c r="C12" s="2" t="inlineStr">
        <is>
          <t>'기록' D열(대상 구분: 현직/학생/런칭준비) 기준 — 예시 행(2행) 제외</t>
        </is>
      </c>
    </row>
    <row r="13">
      <c r="A13" s="2" t="inlineStr">
        <is>
          <t>현직 완료 수</t>
        </is>
      </c>
      <c r="B13" s="2">
        <f>COUNTIF('기록'!D3:D12,"현직")</f>
        <v/>
      </c>
    </row>
    <row r="14">
      <c r="A14" s="2" t="inlineStr">
        <is>
          <t>현직 강한 신호</t>
        </is>
      </c>
      <c r="B14" s="2">
        <f>COUNTIFS('기록'!D3:D12,"현직",'기록'!V3:V12,"강한 신호")</f>
        <v/>
      </c>
      <c r="C14" s="2" t="inlineStr">
        <is>
          <t>기준: 합리적 가격을 숫자로 말함 + E15 수락</t>
        </is>
      </c>
    </row>
    <row r="15">
      <c r="A15" s="2" t="inlineStr">
        <is>
          <t>학생 완료 수</t>
        </is>
      </c>
      <c r="B15" s="2">
        <f>COUNTIF('기록'!D3:D12,"학생")</f>
        <v/>
      </c>
    </row>
    <row r="16">
      <c r="A16" s="2" t="inlineStr">
        <is>
          <t>학생 강한 신호</t>
        </is>
      </c>
      <c r="B16" s="2">
        <f>COUNTIFS('기록'!D3:D12,"학생",'기록'!V3:V12,"강한 신호")</f>
        <v/>
      </c>
      <c r="C16" s="2" t="inlineStr">
        <is>
          <t>학생 판정 기준: 지불 대신 S5 사용 의향 + 학교 제휴 관심</t>
        </is>
      </c>
    </row>
    <row r="17">
      <c r="A17" s="2" t="inlineStr">
        <is>
          <t>런칭준비 완료 수</t>
        </is>
      </c>
      <c r="B17" s="2">
        <f>COUNTIF('기록'!D3:D12,"런칭준비")</f>
        <v/>
      </c>
    </row>
    <row r="18">
      <c r="A18" s="2" t="inlineStr">
        <is>
          <t>런칭준비 강한 신호</t>
        </is>
      </c>
      <c r="B18" s="2">
        <f>COUNTIFS('기록'!D3:D12,"런칭준비",'기록'!V3:V12,"강한 신호")</f>
        <v/>
      </c>
      <c r="C18" s="2" t="inlineStr">
        <is>
          <t>기준: L6 합리적 가격 + E15 수락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2026-07-20T13:42:36Z</dcterms:created>
  <dcterms:modified xmlns:dcterms="http://purl.org/dc/terms/" xmlns:xsi="http://www.w3.org/2001/XMLSchema-instance" xsi:type="dcterms:W3CDTF">2026-07-22T04:42:50Z</dcterms:modified>
</cp:coreProperties>
</file>